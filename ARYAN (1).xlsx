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ssion1\Downloads\"/>
    </mc:Choice>
  </mc:AlternateContent>
  <bookViews>
    <workbookView xWindow="0" yWindow="0" windowWidth="28800" windowHeight="13005" activeTab="2"/>
  </bookViews>
  <sheets>
    <sheet name="Sheet1" sheetId="1" r:id="rId1"/>
    <sheet name="Sheet2" sheetId="2" r:id="rId2"/>
    <sheet name="Sheet3" sheetId="3" r:id="rId3"/>
  </sheets>
  <definedNames>
    <definedName name="_xlchart.v1.0" hidden="1">Sheet2!#REF!</definedName>
    <definedName name="_xlchart.v1.1" hidden="1">Sheet2!#REF!</definedName>
    <definedName name="_xlchart.v1.2" hidden="1">Sheet2!#REF!</definedName>
    <definedName name="_xlchart.v1.3" hidden="1">Sheet2!#REF!</definedName>
    <definedName name="_xlchart.v1.4" hidden="1">Sheet2!$C$7</definedName>
    <definedName name="_xlchart.v1.5" hidden="1">Sheet2!$C$8:$C$14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" i="3" l="1"/>
  <c r="F47" i="3"/>
  <c r="F45" i="3"/>
  <c r="G41" i="3"/>
  <c r="H41" i="3"/>
  <c r="I41" i="3"/>
  <c r="J41" i="3"/>
  <c r="F41" i="3"/>
  <c r="J35" i="3"/>
  <c r="J36" i="3"/>
  <c r="J37" i="3"/>
  <c r="J38" i="3"/>
  <c r="I36" i="3"/>
  <c r="I37" i="3"/>
  <c r="I38" i="3"/>
  <c r="I39" i="3"/>
  <c r="I40" i="3"/>
  <c r="I34" i="3"/>
  <c r="H35" i="3"/>
  <c r="H36" i="3"/>
  <c r="H37" i="3"/>
  <c r="H38" i="3"/>
  <c r="H39" i="3"/>
  <c r="H40" i="3"/>
  <c r="G35" i="3"/>
  <c r="I35" i="3" s="1"/>
  <c r="G36" i="3"/>
  <c r="G37" i="3"/>
  <c r="G38" i="3"/>
  <c r="G39" i="3"/>
  <c r="J39" i="3" s="1"/>
  <c r="G40" i="3"/>
  <c r="J40" i="3" s="1"/>
  <c r="G34" i="3"/>
  <c r="H34" i="3" s="1"/>
  <c r="J34" i="3" l="1"/>
  <c r="D29" i="1" a="1"/>
  <c r="D29" i="1" s="1"/>
  <c r="G22" i="1"/>
  <c r="G21" i="1"/>
  <c r="G20" i="1"/>
  <c r="G19" i="1"/>
  <c r="G18" i="1"/>
  <c r="D35" i="1" l="1"/>
  <c r="D34" i="1"/>
  <c r="D33" i="1"/>
  <c r="D32" i="1"/>
  <c r="D31" i="1"/>
  <c r="D30" i="1"/>
</calcChain>
</file>

<file path=xl/sharedStrings.xml><?xml version="1.0" encoding="utf-8"?>
<sst xmlns="http://schemas.openxmlformats.org/spreadsheetml/2006/main" count="60" uniqueCount="58">
  <si>
    <t>construct the continous frequency distribution</t>
  </si>
  <si>
    <t xml:space="preserve">Theory and Formula- first of all we insert the data in excle sheet now to construct the frequency distribution we have to claculate </t>
  </si>
  <si>
    <t>maximum-</t>
  </si>
  <si>
    <t>Minimum-</t>
  </si>
  <si>
    <t>no of class intervals</t>
  </si>
  <si>
    <t>range=</t>
  </si>
  <si>
    <t>size of class interval</t>
  </si>
  <si>
    <t>Problem- we are given the set of ovservations</t>
  </si>
  <si>
    <t>Aim - to construct the continous frequency distribution</t>
  </si>
  <si>
    <t>CLASS INTERVAL</t>
  </si>
  <si>
    <t>FREQUENCY</t>
  </si>
  <si>
    <t>Result- As shown in excle sheet</t>
  </si>
  <si>
    <t>Aim- to draw the histogram</t>
  </si>
  <si>
    <t>Problem-to draw the histogram for the given continous frequency distribution</t>
  </si>
  <si>
    <t>select the data and go to the insert menu</t>
  </si>
  <si>
    <t xml:space="preserve">Theory and formula-We insert the data into excle sheet and then </t>
  </si>
  <si>
    <t>from insert menu we go to the chat button and in chart button we go to bar chart and perform accordingly which type of chart are required</t>
  </si>
  <si>
    <t>frequency</t>
  </si>
  <si>
    <t>21-29</t>
  </si>
  <si>
    <t>30-38</t>
  </si>
  <si>
    <t>39-47</t>
  </si>
  <si>
    <t>48-56</t>
  </si>
  <si>
    <t>57-65</t>
  </si>
  <si>
    <t>66-74</t>
  </si>
  <si>
    <t>75-83</t>
  </si>
  <si>
    <t>AIM-</t>
  </si>
  <si>
    <t>TO calculate arthematic mean, geomatric mean and harmonic mean</t>
  </si>
  <si>
    <t>PROBLEM-</t>
  </si>
  <si>
    <t>For the given continous frequency distribution</t>
  </si>
  <si>
    <t>Class interval</t>
  </si>
  <si>
    <t>Frequency</t>
  </si>
  <si>
    <t>21-30</t>
  </si>
  <si>
    <t>39-48</t>
  </si>
  <si>
    <t>48-57</t>
  </si>
  <si>
    <t>57-66</t>
  </si>
  <si>
    <t>66-75</t>
  </si>
  <si>
    <t>75-84</t>
  </si>
  <si>
    <t>Calculate arthematic mean,geomatric mean and harmonic mean also verify that arthematic mean is greater than geomatric and geomatric mean grater than harmonic mean</t>
  </si>
  <si>
    <t>Theory and Formula-</t>
  </si>
  <si>
    <r>
      <t>For the continous frequency distribution arthermatic mean is given by :  1/N</t>
    </r>
    <r>
      <rPr>
        <sz val="11"/>
        <color theme="1"/>
        <rFont val="Calibri"/>
        <family val="2"/>
      </rPr>
      <t>∑fixi</t>
    </r>
    <r>
      <rPr>
        <sz val="11"/>
        <color theme="1"/>
        <rFont val="Calibri"/>
        <family val="2"/>
        <scheme val="minor"/>
      </rPr>
      <t xml:space="preserve"> </t>
    </r>
  </si>
  <si>
    <r>
      <t>harmonic mean : N/</t>
    </r>
    <r>
      <rPr>
        <sz val="11"/>
        <color theme="1"/>
        <rFont val="Calibri"/>
        <family val="2"/>
      </rPr>
      <t>∑fi/xi</t>
    </r>
  </si>
  <si>
    <r>
      <t xml:space="preserve">geomatric mean: Antilog((1/N) </t>
    </r>
    <r>
      <rPr>
        <sz val="11"/>
        <color theme="1"/>
        <rFont val="Calibri"/>
        <family val="2"/>
      </rPr>
      <t>∑fi log xi)</t>
    </r>
  </si>
  <si>
    <t>Calculations-</t>
  </si>
  <si>
    <t xml:space="preserve">We inser the data into excle sheet and compute the values as required by theory and formula </t>
  </si>
  <si>
    <t>LL</t>
  </si>
  <si>
    <t>UL</t>
  </si>
  <si>
    <t>30-39</t>
  </si>
  <si>
    <t>Xi</t>
  </si>
  <si>
    <t>Xi*Fi</t>
  </si>
  <si>
    <t>Fi/Xi</t>
  </si>
  <si>
    <t>Fi*Log Xi</t>
  </si>
  <si>
    <t>total</t>
  </si>
  <si>
    <t>Arthematic mean</t>
  </si>
  <si>
    <t>Geometric mean</t>
  </si>
  <si>
    <t>for taking antilog take 10^((1/N) ∑fi log xi)</t>
  </si>
  <si>
    <t>harmonic mean</t>
  </si>
  <si>
    <t>PRACTICAL -7</t>
  </si>
  <si>
    <r>
      <t xml:space="preserve">Thus we have arthematic mean(47.1) </t>
    </r>
    <r>
      <rPr>
        <sz val="11"/>
        <color theme="1"/>
        <rFont val="Calibri"/>
        <family val="2"/>
      </rPr>
      <t>≥ geometric mean(45.0255) ≥ harmonic mean(42.98733)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</si>
</sst>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/>
    <xf numFmtId="0" fontId="0" fillId="2" borderId="0" xfId="0" applyFill="1"/>
    <xf numFmtId="0" fontId="0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594256600277907"/>
          <c:y val="1.799351248170146E-2"/>
          <c:w val="0.88405743399722092"/>
          <c:h val="0.8184985844828364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Sheet2!$B$8</c:f>
              <c:strCache>
                <c:ptCount val="1"/>
                <c:pt idx="0">
                  <c:v>21-29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EF-4B1F-8906-911C547C73DA}"/>
            </c:ext>
          </c:extLst>
        </c:ser>
        <c:ser>
          <c:idx val="1"/>
          <c:order val="1"/>
          <c:tx>
            <c:strRef>
              <c:f>Sheet2!$B$9</c:f>
              <c:strCache>
                <c:ptCount val="1"/>
                <c:pt idx="0">
                  <c:v>30-38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Sheet2!$C$9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EEF-4B1F-8906-911C547C73DA}"/>
            </c:ext>
          </c:extLst>
        </c:ser>
        <c:ser>
          <c:idx val="2"/>
          <c:order val="2"/>
          <c:tx>
            <c:strRef>
              <c:f>Sheet2!$B$10</c:f>
              <c:strCache>
                <c:ptCount val="1"/>
                <c:pt idx="0">
                  <c:v>39-47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Sheet2!$C$10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EEF-4B1F-8906-911C547C73DA}"/>
            </c:ext>
          </c:extLst>
        </c:ser>
        <c:ser>
          <c:idx val="3"/>
          <c:order val="3"/>
          <c:tx>
            <c:strRef>
              <c:f>Sheet2!$B$11</c:f>
              <c:strCache>
                <c:ptCount val="1"/>
                <c:pt idx="0">
                  <c:v>48-56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Sheet2!$C$11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EEF-4B1F-8906-911C547C73DA}"/>
            </c:ext>
          </c:extLst>
        </c:ser>
        <c:ser>
          <c:idx val="4"/>
          <c:order val="4"/>
          <c:tx>
            <c:strRef>
              <c:f>Sheet2!$B$12</c:f>
              <c:strCache>
                <c:ptCount val="1"/>
                <c:pt idx="0">
                  <c:v>57-65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Sheet2!$C$12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EEF-4B1F-8906-911C547C73DA}"/>
            </c:ext>
          </c:extLst>
        </c:ser>
        <c:ser>
          <c:idx val="5"/>
          <c:order val="5"/>
          <c:tx>
            <c:strRef>
              <c:f>Sheet2!$B$13</c:f>
              <c:strCache>
                <c:ptCount val="1"/>
                <c:pt idx="0">
                  <c:v>66-74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FEEF-4B1F-8906-911C547C73DA}"/>
            </c:ext>
          </c:extLst>
        </c:ser>
        <c:ser>
          <c:idx val="6"/>
          <c:order val="6"/>
          <c:tx>
            <c:strRef>
              <c:f>Sheet2!$B$14</c:f>
              <c:strCache>
                <c:ptCount val="1"/>
                <c:pt idx="0">
                  <c:v>75-83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Sheet2!$C$14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FEEF-4B1F-8906-911C547C7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561337016"/>
        <c:axId val="561337408"/>
        <c:axId val="0"/>
      </c:bar3DChart>
      <c:catAx>
        <c:axId val="561337016"/>
        <c:scaling>
          <c:orientation val="minMax"/>
        </c:scaling>
        <c:delete val="1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561337408"/>
        <c:crosses val="autoZero"/>
        <c:auto val="1"/>
        <c:lblAlgn val="ctr"/>
        <c:lblOffset val="100"/>
        <c:noMultiLvlLbl val="0"/>
      </c:catAx>
      <c:valAx>
        <c:axId val="561337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37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323849</xdr:colOff>
      <xdr:row>6</xdr:row>
      <xdr:rowOff>171451</xdr:rowOff>
    </xdr:from>
    <xdr:to>
      <xdr:col>26</xdr:col>
      <xdr:colOff>495300</xdr:colOff>
      <xdr:row>30</xdr:row>
      <xdr:rowOff>171451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7"/>
  <sheetViews>
    <sheetView workbookViewId="0">
      <selection activeCell="B28" sqref="B28:D35"/>
    </sheetView>
  </sheetViews>
  <sheetFormatPr defaultRowHeight="15" x14ac:dyDescent="0.25"/>
  <sheetData>
    <row r="2" spans="2:14" x14ac:dyDescent="0.25">
      <c r="B2" s="2" t="s">
        <v>8</v>
      </c>
      <c r="C2" s="2"/>
      <c r="D2" s="2"/>
      <c r="E2" s="2"/>
      <c r="F2" s="2"/>
      <c r="G2" s="2"/>
    </row>
    <row r="4" spans="2:14" x14ac:dyDescent="0.25">
      <c r="B4" s="3" t="s">
        <v>7</v>
      </c>
      <c r="C4" s="2"/>
      <c r="D4" s="2"/>
      <c r="E4" s="2"/>
      <c r="F4" s="2"/>
    </row>
    <row r="6" spans="2:14" x14ac:dyDescent="0.25">
      <c r="C6" s="1">
        <v>62</v>
      </c>
      <c r="D6" s="1">
        <v>67</v>
      </c>
      <c r="E6" s="1">
        <v>79</v>
      </c>
      <c r="F6" s="1">
        <v>32</v>
      </c>
      <c r="G6" s="1">
        <v>38</v>
      </c>
      <c r="H6" s="1">
        <v>46</v>
      </c>
      <c r="I6" s="1">
        <v>43</v>
      </c>
      <c r="J6" s="1">
        <v>39</v>
      </c>
      <c r="K6" s="1">
        <v>43</v>
      </c>
    </row>
    <row r="7" spans="2:14" x14ac:dyDescent="0.25">
      <c r="C7" s="1">
        <v>44</v>
      </c>
      <c r="D7" s="1">
        <v>29</v>
      </c>
      <c r="E7" s="1">
        <v>56</v>
      </c>
      <c r="F7" s="1">
        <v>32</v>
      </c>
      <c r="G7" s="1">
        <v>56</v>
      </c>
      <c r="H7" s="1">
        <v>23</v>
      </c>
      <c r="I7" s="1">
        <v>40</v>
      </c>
      <c r="J7" s="1">
        <v>45</v>
      </c>
      <c r="K7" s="1">
        <v>44</v>
      </c>
    </row>
    <row r="8" spans="2:14" x14ac:dyDescent="0.25">
      <c r="C8" s="1">
        <v>40</v>
      </c>
      <c r="D8" s="1">
        <v>33</v>
      </c>
      <c r="E8" s="1">
        <v>43</v>
      </c>
      <c r="F8" s="1">
        <v>49</v>
      </c>
      <c r="G8" s="1">
        <v>28</v>
      </c>
      <c r="H8" s="1">
        <v>35</v>
      </c>
      <c r="I8" s="1">
        <v>79</v>
      </c>
      <c r="J8" s="1">
        <v>42</v>
      </c>
      <c r="K8" s="1">
        <v>21</v>
      </c>
    </row>
    <row r="9" spans="2:14" x14ac:dyDescent="0.25">
      <c r="C9" s="1">
        <v>40</v>
      </c>
      <c r="D9" s="1">
        <v>49</v>
      </c>
      <c r="E9" s="1">
        <v>54</v>
      </c>
      <c r="F9" s="1">
        <v>64</v>
      </c>
      <c r="G9" s="1">
        <v>48</v>
      </c>
      <c r="H9" s="1">
        <v>41</v>
      </c>
      <c r="I9" s="1">
        <v>34</v>
      </c>
      <c r="J9" s="1">
        <v>53</v>
      </c>
      <c r="K9" s="1">
        <v>27</v>
      </c>
    </row>
    <row r="10" spans="2:14" x14ac:dyDescent="0.25">
      <c r="C10" s="1">
        <v>44</v>
      </c>
      <c r="D10" s="1">
        <v>58</v>
      </c>
      <c r="E10" s="1">
        <v>59</v>
      </c>
      <c r="F10" s="1">
        <v>61</v>
      </c>
      <c r="G10" s="1">
        <v>59</v>
      </c>
      <c r="H10" s="1">
        <v>48</v>
      </c>
      <c r="I10" s="1">
        <v>78</v>
      </c>
      <c r="J10" s="1">
        <v>65</v>
      </c>
      <c r="K10" s="1">
        <v>42</v>
      </c>
    </row>
    <row r="12" spans="2:14" x14ac:dyDescent="0.25">
      <c r="C12" s="2" t="s">
        <v>0</v>
      </c>
      <c r="D12" s="2"/>
      <c r="E12" s="2"/>
      <c r="F12" s="2"/>
      <c r="G12" s="2"/>
    </row>
    <row r="15" spans="2:14" x14ac:dyDescent="0.25">
      <c r="B15" s="2" t="s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8" spans="2:7" x14ac:dyDescent="0.25">
      <c r="D18" s="2" t="s">
        <v>2</v>
      </c>
      <c r="E18" s="2"/>
      <c r="F18" s="2"/>
      <c r="G18" s="2">
        <f>MAX(C6:K10)</f>
        <v>79</v>
      </c>
    </row>
    <row r="19" spans="2:7" x14ac:dyDescent="0.25">
      <c r="D19" s="2" t="s">
        <v>3</v>
      </c>
      <c r="E19" s="2"/>
      <c r="F19" s="2"/>
      <c r="G19" s="2">
        <f>MIN(C6:K10)</f>
        <v>21</v>
      </c>
    </row>
    <row r="20" spans="2:7" x14ac:dyDescent="0.25">
      <c r="D20" s="2" t="s">
        <v>5</v>
      </c>
      <c r="E20" s="2"/>
      <c r="F20" s="2"/>
      <c r="G20" s="2">
        <f>MAX(C6:K10)-MIN(C6:K10)</f>
        <v>58</v>
      </c>
    </row>
    <row r="21" spans="2:7" x14ac:dyDescent="0.25">
      <c r="D21" s="2" t="s">
        <v>4</v>
      </c>
      <c r="E21" s="2"/>
      <c r="F21" s="2"/>
      <c r="G21" s="2">
        <f>SQRT(COUNT(C6:K10))</f>
        <v>6.7082039324993694</v>
      </c>
    </row>
    <row r="22" spans="2:7" x14ac:dyDescent="0.25">
      <c r="D22" s="2" t="s">
        <v>6</v>
      </c>
      <c r="E22" s="2"/>
      <c r="F22" s="2"/>
      <c r="G22" s="2">
        <f>(MAX(C6:K10)-MIN(C6:K10))/SQRT(COUNT(C6:K10))</f>
        <v>8.6461295129991864</v>
      </c>
    </row>
    <row r="28" spans="2:7" x14ac:dyDescent="0.25">
      <c r="B28" s="2" t="s">
        <v>9</v>
      </c>
      <c r="C28" s="2"/>
      <c r="D28" s="2" t="s">
        <v>10</v>
      </c>
    </row>
    <row r="29" spans="2:7" x14ac:dyDescent="0.25">
      <c r="B29" s="2">
        <v>21</v>
      </c>
      <c r="C29" s="2">
        <v>29</v>
      </c>
      <c r="D29" s="2">
        <f t="array" ref="D29:D35">FREQUENCY(C6:K10,C29:C35)</f>
        <v>5</v>
      </c>
    </row>
    <row r="30" spans="2:7" x14ac:dyDescent="0.25">
      <c r="B30" s="2">
        <v>30</v>
      </c>
      <c r="C30" s="2">
        <v>38</v>
      </c>
      <c r="D30" s="2">
        <v>6</v>
      </c>
    </row>
    <row r="31" spans="2:7" x14ac:dyDescent="0.25">
      <c r="B31" s="2">
        <v>39</v>
      </c>
      <c r="C31" s="2">
        <v>47</v>
      </c>
      <c r="D31" s="2">
        <v>15</v>
      </c>
    </row>
    <row r="32" spans="2:7" x14ac:dyDescent="0.25">
      <c r="B32" s="2">
        <v>48</v>
      </c>
      <c r="C32" s="2">
        <v>56</v>
      </c>
      <c r="D32" s="2">
        <v>8</v>
      </c>
    </row>
    <row r="33" spans="2:4" x14ac:dyDescent="0.25">
      <c r="B33" s="2">
        <v>57</v>
      </c>
      <c r="C33" s="2">
        <v>65</v>
      </c>
      <c r="D33" s="2">
        <v>7</v>
      </c>
    </row>
    <row r="34" spans="2:4" x14ac:dyDescent="0.25">
      <c r="B34" s="2">
        <v>66</v>
      </c>
      <c r="C34" s="2">
        <v>74</v>
      </c>
      <c r="D34" s="2">
        <v>1</v>
      </c>
    </row>
    <row r="35" spans="2:4" x14ac:dyDescent="0.25">
      <c r="B35" s="2">
        <v>75</v>
      </c>
      <c r="C35" s="2">
        <v>83</v>
      </c>
      <c r="D35" s="2">
        <v>3</v>
      </c>
    </row>
    <row r="37" spans="2:4" x14ac:dyDescent="0.25">
      <c r="B37" s="2" t="s">
        <v>11</v>
      </c>
      <c r="C37" s="2"/>
      <c r="D3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3"/>
  <sheetViews>
    <sheetView workbookViewId="0">
      <selection activeCell="L15" sqref="L15"/>
    </sheetView>
  </sheetViews>
  <sheetFormatPr defaultRowHeight="15" x14ac:dyDescent="0.25"/>
  <sheetData>
    <row r="2" spans="2:3" x14ac:dyDescent="0.25">
      <c r="B2" t="s">
        <v>12</v>
      </c>
    </row>
    <row r="4" spans="2:3" x14ac:dyDescent="0.25">
      <c r="B4" t="s">
        <v>13</v>
      </c>
    </row>
    <row r="7" spans="2:3" x14ac:dyDescent="0.25">
      <c r="B7" t="s">
        <v>9</v>
      </c>
      <c r="C7" t="s">
        <v>17</v>
      </c>
    </row>
    <row r="8" spans="2:3" x14ac:dyDescent="0.25">
      <c r="B8" t="s">
        <v>18</v>
      </c>
      <c r="C8">
        <v>5</v>
      </c>
    </row>
    <row r="9" spans="2:3" x14ac:dyDescent="0.25">
      <c r="B9" t="s">
        <v>19</v>
      </c>
      <c r="C9">
        <v>6</v>
      </c>
    </row>
    <row r="10" spans="2:3" x14ac:dyDescent="0.25">
      <c r="B10" t="s">
        <v>20</v>
      </c>
      <c r="C10">
        <v>15</v>
      </c>
    </row>
    <row r="11" spans="2:3" x14ac:dyDescent="0.25">
      <c r="B11" t="s">
        <v>21</v>
      </c>
      <c r="C11">
        <v>8</v>
      </c>
    </row>
    <row r="12" spans="2:3" x14ac:dyDescent="0.25">
      <c r="B12" t="s">
        <v>22</v>
      </c>
      <c r="C12">
        <v>7</v>
      </c>
    </row>
    <row r="13" spans="2:3" x14ac:dyDescent="0.25">
      <c r="B13" t="s">
        <v>23</v>
      </c>
      <c r="C13">
        <v>1</v>
      </c>
    </row>
    <row r="14" spans="2:3" x14ac:dyDescent="0.25">
      <c r="B14" t="s">
        <v>24</v>
      </c>
      <c r="C14">
        <v>3</v>
      </c>
    </row>
    <row r="21" spans="2:4" x14ac:dyDescent="0.25">
      <c r="B21" t="s">
        <v>15</v>
      </c>
    </row>
    <row r="22" spans="2:4" x14ac:dyDescent="0.25">
      <c r="D22" t="s">
        <v>14</v>
      </c>
    </row>
    <row r="23" spans="2:4" x14ac:dyDescent="0.25">
      <c r="D23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topLeftCell="A31" zoomScaleNormal="100" workbookViewId="0">
      <selection activeCell="D53" sqref="D53"/>
    </sheetView>
  </sheetViews>
  <sheetFormatPr defaultRowHeight="15" x14ac:dyDescent="0.25"/>
  <sheetData>
    <row r="1" spans="1:5" x14ac:dyDescent="0.25">
      <c r="A1" t="s">
        <v>56</v>
      </c>
    </row>
    <row r="2" spans="1:5" x14ac:dyDescent="0.25">
      <c r="B2" t="s">
        <v>25</v>
      </c>
      <c r="C2" t="s">
        <v>26</v>
      </c>
    </row>
    <row r="4" spans="1:5" x14ac:dyDescent="0.25">
      <c r="B4" t="s">
        <v>27</v>
      </c>
      <c r="D4" t="s">
        <v>28</v>
      </c>
    </row>
    <row r="5" spans="1:5" ht="15.75" thickBot="1" x14ac:dyDescent="0.3"/>
    <row r="6" spans="1:5" x14ac:dyDescent="0.25">
      <c r="C6" s="14" t="s">
        <v>29</v>
      </c>
      <c r="D6" s="15"/>
      <c r="E6" s="16" t="s">
        <v>30</v>
      </c>
    </row>
    <row r="7" spans="1:5" x14ac:dyDescent="0.25">
      <c r="C7" s="17" t="s">
        <v>31</v>
      </c>
      <c r="D7" s="4"/>
      <c r="E7" s="18">
        <v>5</v>
      </c>
    </row>
    <row r="8" spans="1:5" x14ac:dyDescent="0.25">
      <c r="C8" s="17" t="s">
        <v>46</v>
      </c>
      <c r="D8" s="4"/>
      <c r="E8" s="18">
        <v>7</v>
      </c>
    </row>
    <row r="9" spans="1:5" x14ac:dyDescent="0.25">
      <c r="C9" s="17" t="s">
        <v>32</v>
      </c>
      <c r="D9" s="4"/>
      <c r="E9" s="18">
        <v>16</v>
      </c>
    </row>
    <row r="10" spans="1:5" x14ac:dyDescent="0.25">
      <c r="C10" s="17" t="s">
        <v>33</v>
      </c>
      <c r="D10" s="4"/>
      <c r="E10" s="18">
        <v>6</v>
      </c>
    </row>
    <row r="11" spans="1:5" x14ac:dyDescent="0.25">
      <c r="C11" s="17" t="s">
        <v>34</v>
      </c>
      <c r="D11" s="4"/>
      <c r="E11" s="18">
        <v>7</v>
      </c>
    </row>
    <row r="12" spans="1:5" x14ac:dyDescent="0.25">
      <c r="C12" s="17" t="s">
        <v>35</v>
      </c>
      <c r="D12" s="4"/>
      <c r="E12" s="18">
        <v>1</v>
      </c>
    </row>
    <row r="13" spans="1:5" ht="15.75" thickBot="1" x14ac:dyDescent="0.3">
      <c r="C13" s="19" t="s">
        <v>36</v>
      </c>
      <c r="D13" s="20"/>
      <c r="E13" s="21">
        <v>3</v>
      </c>
    </row>
    <row r="15" spans="1:5" x14ac:dyDescent="0.25">
      <c r="D15" t="s">
        <v>37</v>
      </c>
    </row>
    <row r="19" spans="2:10" x14ac:dyDescent="0.25">
      <c r="B19" t="s">
        <v>38</v>
      </c>
    </row>
    <row r="21" spans="2:10" x14ac:dyDescent="0.25">
      <c r="E21" t="s">
        <v>39</v>
      </c>
    </row>
    <row r="23" spans="2:10" x14ac:dyDescent="0.25">
      <c r="E23" t="s">
        <v>40</v>
      </c>
    </row>
    <row r="25" spans="2:10" x14ac:dyDescent="0.25">
      <c r="E25" t="s">
        <v>41</v>
      </c>
      <c r="J25" t="s">
        <v>54</v>
      </c>
    </row>
    <row r="29" spans="2:10" x14ac:dyDescent="0.25">
      <c r="B29" t="s">
        <v>42</v>
      </c>
    </row>
    <row r="30" spans="2:10" x14ac:dyDescent="0.25">
      <c r="D30" t="s">
        <v>43</v>
      </c>
    </row>
    <row r="32" spans="2:10" ht="15.75" thickBot="1" x14ac:dyDescent="0.3"/>
    <row r="33" spans="4:10" x14ac:dyDescent="0.25">
      <c r="D33" s="5" t="s">
        <v>44</v>
      </c>
      <c r="E33" s="6" t="s">
        <v>45</v>
      </c>
      <c r="F33" s="6" t="s">
        <v>10</v>
      </c>
      <c r="G33" s="6" t="s">
        <v>47</v>
      </c>
      <c r="H33" s="6" t="s">
        <v>48</v>
      </c>
      <c r="I33" s="6" t="s">
        <v>49</v>
      </c>
      <c r="J33" s="7" t="s">
        <v>50</v>
      </c>
    </row>
    <row r="34" spans="4:10" x14ac:dyDescent="0.25">
      <c r="D34" s="8">
        <v>21</v>
      </c>
      <c r="E34" s="9">
        <v>30</v>
      </c>
      <c r="F34" s="9">
        <v>5</v>
      </c>
      <c r="G34" s="9">
        <f>SUM(D34+E34)/2</f>
        <v>25.5</v>
      </c>
      <c r="H34" s="9">
        <f>(F34*G34)</f>
        <v>127.5</v>
      </c>
      <c r="I34" s="9">
        <f>(F34/G34)</f>
        <v>0.19607843137254902</v>
      </c>
      <c r="J34" s="10">
        <f>(F34*LOG10(G34))</f>
        <v>7.0327009021697764</v>
      </c>
    </row>
    <row r="35" spans="4:10" x14ac:dyDescent="0.25">
      <c r="D35" s="8">
        <v>30</v>
      </c>
      <c r="E35" s="9">
        <v>39</v>
      </c>
      <c r="F35" s="9">
        <v>7</v>
      </c>
      <c r="G35" s="9">
        <f t="shared" ref="G35:G40" si="0">SUM(D35+E35)/2</f>
        <v>34.5</v>
      </c>
      <c r="H35" s="9">
        <f t="shared" ref="H35:H39" si="1">(F35*G35)</f>
        <v>241.5</v>
      </c>
      <c r="I35" s="9">
        <f t="shared" ref="I35:I39" si="2">(F35/G35)</f>
        <v>0.20289855072463769</v>
      </c>
      <c r="J35" s="10">
        <f t="shared" ref="J35:J39" si="3">(F35*LOG10(G35))</f>
        <v>10.764733665512919</v>
      </c>
    </row>
    <row r="36" spans="4:10" x14ac:dyDescent="0.25">
      <c r="D36" s="8">
        <v>39</v>
      </c>
      <c r="E36" s="9">
        <v>48</v>
      </c>
      <c r="F36" s="9">
        <v>16</v>
      </c>
      <c r="G36" s="9">
        <f t="shared" si="0"/>
        <v>43.5</v>
      </c>
      <c r="H36" s="9">
        <f t="shared" si="1"/>
        <v>696</v>
      </c>
      <c r="I36" s="9">
        <f t="shared" si="2"/>
        <v>0.36781609195402298</v>
      </c>
      <c r="J36" s="10">
        <f t="shared" si="3"/>
        <v>26.215828111274199</v>
      </c>
    </row>
    <row r="37" spans="4:10" x14ac:dyDescent="0.25">
      <c r="D37" s="8">
        <v>48</v>
      </c>
      <c r="E37" s="9">
        <v>57</v>
      </c>
      <c r="F37" s="9">
        <v>6</v>
      </c>
      <c r="G37" s="9">
        <f t="shared" si="0"/>
        <v>52.5</v>
      </c>
      <c r="H37" s="9">
        <f t="shared" si="1"/>
        <v>315</v>
      </c>
      <c r="I37" s="9">
        <f t="shared" si="2"/>
        <v>0.11428571428571428</v>
      </c>
      <c r="J37" s="10">
        <f t="shared" si="3"/>
        <v>10.32095582043574</v>
      </c>
    </row>
    <row r="38" spans="4:10" x14ac:dyDescent="0.25">
      <c r="D38" s="8">
        <v>57</v>
      </c>
      <c r="E38" s="9">
        <v>66</v>
      </c>
      <c r="F38" s="9">
        <v>7</v>
      </c>
      <c r="G38" s="9">
        <f t="shared" si="0"/>
        <v>61.5</v>
      </c>
      <c r="H38" s="9">
        <f t="shared" si="1"/>
        <v>430.5</v>
      </c>
      <c r="I38" s="9">
        <f t="shared" si="2"/>
        <v>0.11382113821138211</v>
      </c>
      <c r="J38" s="10">
        <f t="shared" si="3"/>
        <v>12.522125810427918</v>
      </c>
    </row>
    <row r="39" spans="4:10" x14ac:dyDescent="0.25">
      <c r="D39" s="8">
        <v>66</v>
      </c>
      <c r="E39" s="9">
        <v>75</v>
      </c>
      <c r="F39" s="9">
        <v>1</v>
      </c>
      <c r="G39" s="9">
        <f t="shared" si="0"/>
        <v>70.5</v>
      </c>
      <c r="H39" s="9">
        <f t="shared" si="1"/>
        <v>70.5</v>
      </c>
      <c r="I39" s="9">
        <f t="shared" si="2"/>
        <v>1.4184397163120567E-2</v>
      </c>
      <c r="J39" s="10">
        <f t="shared" si="3"/>
        <v>1.8481891169913987</v>
      </c>
    </row>
    <row r="40" spans="4:10" x14ac:dyDescent="0.25">
      <c r="D40" s="8">
        <v>75</v>
      </c>
      <c r="E40" s="9">
        <v>84</v>
      </c>
      <c r="F40" s="9">
        <v>3</v>
      </c>
      <c r="G40" s="9">
        <f t="shared" si="0"/>
        <v>79.5</v>
      </c>
      <c r="H40" s="9">
        <f>(F40*G40)</f>
        <v>238.5</v>
      </c>
      <c r="I40" s="9">
        <f>(F40/G40)</f>
        <v>3.7735849056603772E-2</v>
      </c>
      <c r="J40" s="10">
        <f>(F40*LOG10(G40))</f>
        <v>5.7011013859694106</v>
      </c>
    </row>
    <row r="41" spans="4:10" ht="15.75" thickBot="1" x14ac:dyDescent="0.3">
      <c r="D41" s="11"/>
      <c r="E41" s="12" t="s">
        <v>51</v>
      </c>
      <c r="F41" s="12">
        <f>SUM(F34:F40)</f>
        <v>45</v>
      </c>
      <c r="G41" s="12">
        <f t="shared" ref="G41:J41" si="4">SUM(G34:G40)</f>
        <v>367.5</v>
      </c>
      <c r="H41" s="12">
        <f t="shared" si="4"/>
        <v>2119.5</v>
      </c>
      <c r="I41" s="12">
        <f t="shared" si="4"/>
        <v>1.0468201727680304</v>
      </c>
      <c r="J41" s="13">
        <f t="shared" si="4"/>
        <v>74.405634812781358</v>
      </c>
    </row>
    <row r="45" spans="4:10" x14ac:dyDescent="0.25">
      <c r="D45" t="s">
        <v>52</v>
      </c>
      <c r="F45">
        <f>((1/F41)*H41)</f>
        <v>47.1</v>
      </c>
    </row>
    <row r="47" spans="4:10" x14ac:dyDescent="0.25">
      <c r="D47" t="s">
        <v>53</v>
      </c>
      <c r="F47">
        <f>10^((1/F41)*J41)</f>
        <v>45.025500737694308</v>
      </c>
    </row>
    <row r="49" spans="4:6" x14ac:dyDescent="0.25">
      <c r="D49" t="s">
        <v>55</v>
      </c>
      <c r="F49">
        <f>(F41/I41)</f>
        <v>42.987325971193101</v>
      </c>
    </row>
    <row r="52" spans="4:6" x14ac:dyDescent="0.25">
      <c r="D5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session 2</dc:creator>
  <cp:lastModifiedBy>Session1</cp:lastModifiedBy>
  <dcterms:created xsi:type="dcterms:W3CDTF">2026-01-20T10:07:57Z</dcterms:created>
  <dcterms:modified xsi:type="dcterms:W3CDTF">2026-02-10T11:23:12Z</dcterms:modified>
</cp:coreProperties>
</file>